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 showInkAnnotation="0"/>
  <mc:AlternateContent xmlns:mc="http://schemas.openxmlformats.org/markup-compatibility/2006">
    <mc:Choice Requires="x15">
      <x15ac:absPath xmlns:x15ac="http://schemas.microsoft.com/office/spreadsheetml/2010/11/ac" url="/Users/christophertimmermann/Dropbox/DMT_Pilot/Results_Final/"/>
    </mc:Choice>
  </mc:AlternateContent>
  <xr:revisionPtr revIDLastSave="0" documentId="13_ncr:1_{C7BF08FF-4A81-3248-9055-FBAE1357513A}" xr6:coauthVersionLast="47" xr6:coauthVersionMax="47" xr10:uidLastSave="{00000000-0000-0000-0000-000000000000}"/>
  <bookViews>
    <workbookView xWindow="860" yWindow="760" windowWidth="34560" windowHeight="2158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" i="1" l="1"/>
  <c r="O43" i="1"/>
  <c r="O38" i="1" s="1"/>
  <c r="N43" i="1"/>
  <c r="M43" i="1"/>
  <c r="L43" i="1"/>
  <c r="L33" i="1" s="1"/>
  <c r="K43" i="1"/>
  <c r="O42" i="1"/>
  <c r="N42" i="1"/>
  <c r="N30" i="1" s="1"/>
  <c r="M42" i="1"/>
  <c r="L42" i="1"/>
  <c r="K42" i="1"/>
  <c r="O41" i="1"/>
  <c r="N41" i="1"/>
  <c r="M41" i="1"/>
  <c r="L41" i="1"/>
  <c r="K41" i="1"/>
  <c r="O39" i="1"/>
  <c r="N39" i="1"/>
  <c r="M39" i="1"/>
  <c r="L39" i="1"/>
  <c r="K39" i="1"/>
  <c r="N9" i="1"/>
  <c r="O22" i="1"/>
  <c r="O17" i="1" s="1"/>
  <c r="N22" i="1"/>
  <c r="M22" i="1"/>
  <c r="L22" i="1"/>
  <c r="L16" i="1" s="1"/>
  <c r="K22" i="1"/>
  <c r="O21" i="1"/>
  <c r="N21" i="1"/>
  <c r="L21" i="1"/>
  <c r="M21" i="1"/>
  <c r="K21" i="1"/>
  <c r="L20" i="1"/>
  <c r="M20" i="1"/>
  <c r="N20" i="1"/>
  <c r="O20" i="1"/>
  <c r="K20" i="1"/>
  <c r="O18" i="1"/>
  <c r="N18" i="1"/>
  <c r="M18" i="1"/>
  <c r="L18" i="1"/>
  <c r="K18" i="1"/>
  <c r="C18" i="1"/>
  <c r="C8" i="1" s="1"/>
  <c r="C21" i="1" s="1"/>
  <c r="G43" i="1"/>
  <c r="G38" i="1" s="1"/>
  <c r="E43" i="1"/>
  <c r="E36" i="1" s="1"/>
  <c r="D43" i="1"/>
  <c r="D36" i="1" s="1"/>
  <c r="F42" i="1"/>
  <c r="F29" i="1" s="1"/>
  <c r="G42" i="1"/>
  <c r="G29" i="1" s="1"/>
  <c r="E42" i="1"/>
  <c r="E29" i="1" s="1"/>
  <c r="F41" i="1"/>
  <c r="F28" i="1" s="1"/>
  <c r="G41" i="1"/>
  <c r="G28" i="1" s="1"/>
  <c r="E41" i="1"/>
  <c r="E28" i="1" s="1"/>
  <c r="D41" i="1"/>
  <c r="F43" i="1"/>
  <c r="C43" i="1"/>
  <c r="D42" i="1"/>
  <c r="C42" i="1"/>
  <c r="G22" i="1"/>
  <c r="G17" i="1" s="1"/>
  <c r="F21" i="1"/>
  <c r="F8" i="1" s="1"/>
  <c r="G21" i="1"/>
  <c r="G8" i="1" s="1"/>
  <c r="E21" i="1"/>
  <c r="E15" i="1" s="1"/>
  <c r="F20" i="1"/>
  <c r="F7" i="1" s="1"/>
  <c r="G20" i="1"/>
  <c r="G7" i="1" s="1"/>
  <c r="E20" i="1"/>
  <c r="E7" i="1" s="1"/>
  <c r="D21" i="1"/>
  <c r="D15" i="1" s="1"/>
  <c r="E39" i="1"/>
  <c r="D39" i="1"/>
  <c r="G39" i="1"/>
  <c r="F39" i="1"/>
  <c r="C39" i="1"/>
  <c r="C41" i="1"/>
  <c r="F22" i="1"/>
  <c r="E22" i="1"/>
  <c r="D22" i="1"/>
  <c r="C22" i="1"/>
  <c r="D20" i="1"/>
  <c r="G18" i="1"/>
  <c r="F18" i="1"/>
  <c r="E18" i="1"/>
  <c r="D18" i="1"/>
  <c r="L37" i="1" l="1"/>
  <c r="L12" i="1"/>
  <c r="E8" i="1"/>
  <c r="O13" i="1"/>
  <c r="O16" i="1"/>
  <c r="O34" i="1"/>
  <c r="O37" i="1"/>
</calcChain>
</file>

<file path=xl/sharedStrings.xml><?xml version="1.0" encoding="utf-8"?>
<sst xmlns="http://schemas.openxmlformats.org/spreadsheetml/2006/main" count="79" uniqueCount="27">
  <si>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</si>
  <si>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</si>
  <si>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</si>
  <si>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</si>
  <si>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</si>
  <si>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</si>
  <si>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</si>
  <si>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</si>
  <si>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</si>
  <si>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</si>
  <si>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</si>
  <si>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</si>
  <si>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</si>
  <si>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AVG</t>
  </si>
  <si>
    <t>PLASMA</t>
  </si>
  <si>
    <t>TIMES</t>
  </si>
  <si>
    <t>Low</t>
  </si>
  <si>
    <t>Medium</t>
  </si>
  <si>
    <t>High</t>
  </si>
  <si>
    <t>DMT</t>
  </si>
  <si>
    <t>PLACEBO</t>
  </si>
  <si>
    <t>7 mg</t>
  </si>
  <si>
    <t>14 mg</t>
  </si>
  <si>
    <t>20 mg</t>
  </si>
  <si>
    <t>18 mg</t>
  </si>
  <si>
    <t>TIMES IN MIN</t>
  </si>
  <si>
    <t>NANS and outliers (in yellow and green) have been replaced by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</si>
</sst>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rgb="FF000000"/>
      <name val="Calibri"/>
      <family val="2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3" borderId="0" xfId="0" applyFill="1"/>
    <xf numFmtId="0" fontId="0" fillId="2" borderId="0" xfId="0" applyFill="1"/>
    <xf numFmtId="0" fontId="1" fillId="0" borderId="0" xfId="0" applyFont="1"/>
    <xf numFmtId="0" fontId="0" fillId="4" borderId="0" xfId="0" applyFill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3" borderId="1" xfId="0" applyFill="1" applyBorder="1"/>
    <xf numFmtId="1" fontId="2" fillId="3" borderId="0" xfId="0" applyNumberFormat="1" applyFont="1" applyFill="1"/>
    <xf numFmtId="1" fontId="2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ill="1"/>
    <xf numFmtId="0" fontId="1" fillId="0" borderId="0" xfId="0" applyFont="1" applyFill="1"/>
    <xf numFmtId="0" fontId="0" fillId="0" borderId="0" xfId="0" applyFill="1" applyBorder="1"/>
    <xf numFmtId="0" fontId="1" fillId="0" borderId="0" xfId="0" applyFont="1" applyFill="1" applyBorder="1"/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center" textRotation="90"/>
    </xf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112"/>
  <sheetViews>
    <sheetView tabSelected="1" workbookViewId="0">
      <selection activeCell="N27" sqref="N27"/>
    </sheetView>
  </sheetViews>
  <sheetFormatPr baseColWidth="10" defaultRowHeight="16" x14ac:dyDescent="0.2"/>
  <sheetData>
    <row r="2" spans="1:42" x14ac:dyDescent="0.2">
      <c r="B2" s="3" t="s">
        <v>19</v>
      </c>
    </row>
    <row r="3" spans="1:42" x14ac:dyDescent="0.2">
      <c r="B3" t="s">
        <v>26</v>
      </c>
      <c r="K3" s="3" t="s">
        <v>20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</row>
    <row r="4" spans="1:42" x14ac:dyDescent="0.2">
      <c r="B4" s="3" t="s">
        <v>14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1:42" x14ac:dyDescent="0.2">
      <c r="A5" s="14" t="s">
        <v>21</v>
      </c>
      <c r="B5" t="s">
        <v>0</v>
      </c>
      <c r="C5">
        <v>0.20699999999999999</v>
      </c>
      <c r="D5">
        <v>94.1</v>
      </c>
      <c r="E5">
        <v>50.9</v>
      </c>
      <c r="F5">
        <v>18.399999999999999</v>
      </c>
      <c r="G5">
        <v>5.89</v>
      </c>
      <c r="H5" s="13"/>
      <c r="J5" t="s">
        <v>0</v>
      </c>
      <c r="K5">
        <v>1.31</v>
      </c>
      <c r="L5">
        <v>0.82799999999999996</v>
      </c>
      <c r="M5">
        <v>1.19</v>
      </c>
      <c r="N5">
        <v>0.998</v>
      </c>
      <c r="O5">
        <v>1.1499999999999999</v>
      </c>
      <c r="S5" s="15"/>
      <c r="T5" s="15"/>
      <c r="U5" s="15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5"/>
    </row>
    <row r="6" spans="1:42" x14ac:dyDescent="0.2">
      <c r="A6" s="14"/>
      <c r="B6" t="s">
        <v>1</v>
      </c>
      <c r="C6">
        <v>0.55500000000000005</v>
      </c>
      <c r="D6">
        <v>85.9</v>
      </c>
      <c r="E6">
        <v>68.2</v>
      </c>
      <c r="F6">
        <v>19.7</v>
      </c>
      <c r="G6">
        <v>6.52</v>
      </c>
      <c r="J6" t="s">
        <v>1</v>
      </c>
      <c r="K6">
        <v>1</v>
      </c>
      <c r="L6">
        <v>1.38</v>
      </c>
      <c r="M6">
        <v>1.35</v>
      </c>
      <c r="N6">
        <v>1.29</v>
      </c>
      <c r="O6">
        <v>1.1499999999999999</v>
      </c>
      <c r="S6" s="15"/>
      <c r="T6" s="15"/>
      <c r="U6" s="16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x14ac:dyDescent="0.2">
      <c r="A7" s="14"/>
      <c r="B7" t="s">
        <v>2</v>
      </c>
      <c r="C7">
        <v>0.68600000000000005</v>
      </c>
      <c r="D7">
        <v>73.3</v>
      </c>
      <c r="E7" s="2">
        <f>E20</f>
        <v>59.55</v>
      </c>
      <c r="F7" s="1">
        <f t="shared" ref="F7:G7" si="0">F20</f>
        <v>19.049999999999997</v>
      </c>
      <c r="G7" s="2">
        <f t="shared" si="0"/>
        <v>6.2050000000000001</v>
      </c>
      <c r="J7" t="s">
        <v>2</v>
      </c>
      <c r="K7">
        <v>0.78700000000000003</v>
      </c>
      <c r="L7">
        <v>1.85</v>
      </c>
      <c r="M7">
        <v>1.68</v>
      </c>
      <c r="N7">
        <v>0.78800000000000003</v>
      </c>
      <c r="O7">
        <v>0.91500000000000004</v>
      </c>
      <c r="S7" s="15"/>
      <c r="T7" s="15"/>
      <c r="U7" s="16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2" ht="17" thickBot="1" x14ac:dyDescent="0.25">
      <c r="A8" s="14" t="s">
        <v>22</v>
      </c>
      <c r="B8" t="s">
        <v>3</v>
      </c>
      <c r="C8" s="1">
        <f>C18</f>
        <v>0.79949999999999999</v>
      </c>
      <c r="D8">
        <v>73.599999999999994</v>
      </c>
      <c r="E8" s="2">
        <f>E21</f>
        <v>225</v>
      </c>
      <c r="F8" s="2">
        <f t="shared" ref="F8:G8" si="1">F21</f>
        <v>123.76666666666667</v>
      </c>
      <c r="G8" s="1">
        <f t="shared" si="1"/>
        <v>27.166666666666668</v>
      </c>
      <c r="J8" t="s">
        <v>3</v>
      </c>
      <c r="K8">
        <v>0.98599999999999999</v>
      </c>
      <c r="L8">
        <v>0.60499999999999998</v>
      </c>
      <c r="M8">
        <v>1.1599999999999999</v>
      </c>
      <c r="N8">
        <v>0.94</v>
      </c>
      <c r="O8">
        <v>0.79300000000000004</v>
      </c>
      <c r="S8" s="15"/>
      <c r="T8" s="15"/>
      <c r="U8" s="16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17" thickBot="1" x14ac:dyDescent="0.25">
      <c r="A9" s="14"/>
      <c r="B9" t="s">
        <v>4</v>
      </c>
      <c r="C9">
        <v>0.26200000000000001</v>
      </c>
      <c r="D9">
        <v>487</v>
      </c>
      <c r="E9">
        <v>286</v>
      </c>
      <c r="F9">
        <v>244</v>
      </c>
      <c r="G9">
        <v>39</v>
      </c>
      <c r="J9" t="s">
        <v>4</v>
      </c>
      <c r="K9">
        <v>1.39</v>
      </c>
      <c r="L9">
        <v>0.98799999999999999</v>
      </c>
      <c r="M9">
        <v>1.1100000000000001</v>
      </c>
      <c r="N9" s="9">
        <f>N21</f>
        <v>0.72366666666666679</v>
      </c>
      <c r="O9">
        <v>1.67</v>
      </c>
      <c r="S9" s="15"/>
      <c r="T9" s="15"/>
      <c r="U9" s="16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x14ac:dyDescent="0.2">
      <c r="A10" s="14"/>
      <c r="B10" t="s">
        <v>5</v>
      </c>
      <c r="C10">
        <v>0.63</v>
      </c>
      <c r="D10">
        <v>320</v>
      </c>
      <c r="E10">
        <v>164</v>
      </c>
      <c r="F10">
        <v>30.1</v>
      </c>
      <c r="G10">
        <v>16</v>
      </c>
      <c r="J10" t="s">
        <v>5</v>
      </c>
      <c r="K10">
        <v>0.89100000000000001</v>
      </c>
      <c r="L10">
        <v>1.1200000000000001</v>
      </c>
      <c r="M10">
        <v>0.91200000000000003</v>
      </c>
      <c r="N10">
        <v>0.93</v>
      </c>
      <c r="O10">
        <v>1.19</v>
      </c>
      <c r="S10" s="15"/>
      <c r="T10" s="15"/>
      <c r="U10" s="16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x14ac:dyDescent="0.2">
      <c r="A11" s="14"/>
      <c r="B11" t="s">
        <v>7</v>
      </c>
      <c r="C11">
        <v>0.29399999999999998</v>
      </c>
      <c r="D11">
        <v>405</v>
      </c>
      <c r="E11">
        <v>225</v>
      </c>
      <c r="F11">
        <v>97.2</v>
      </c>
      <c r="G11">
        <v>26.5</v>
      </c>
      <c r="J11" t="s">
        <v>7</v>
      </c>
      <c r="K11">
        <v>6.0699999999999997E-2</v>
      </c>
      <c r="L11">
        <v>0.17199999999999999</v>
      </c>
      <c r="M11">
        <v>0.34699999999999998</v>
      </c>
      <c r="N11">
        <v>0.30099999999999999</v>
      </c>
      <c r="O11">
        <v>0.433</v>
      </c>
      <c r="S11" s="15"/>
      <c r="T11" s="15"/>
      <c r="U11" s="16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">
      <c r="A12" s="14" t="s">
        <v>23</v>
      </c>
      <c r="B12" t="s">
        <v>6</v>
      </c>
      <c r="C12">
        <v>1.29</v>
      </c>
      <c r="D12">
        <v>265</v>
      </c>
      <c r="E12">
        <v>291</v>
      </c>
      <c r="F12">
        <v>173</v>
      </c>
      <c r="G12">
        <v>29.3</v>
      </c>
      <c r="J12" t="s">
        <v>6</v>
      </c>
      <c r="K12">
        <v>0.14799999999999999</v>
      </c>
      <c r="L12" s="4">
        <f>L22</f>
        <v>0.47625000000000001</v>
      </c>
      <c r="M12">
        <v>0.94899999999999995</v>
      </c>
      <c r="N12">
        <v>0.74299999999999999</v>
      </c>
      <c r="O12">
        <v>0.83799999999999997</v>
      </c>
      <c r="S12" s="15"/>
      <c r="T12" s="15"/>
      <c r="U12" s="16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x14ac:dyDescent="0.2">
      <c r="A13" s="14"/>
      <c r="B13" t="s">
        <v>8</v>
      </c>
      <c r="C13">
        <v>2.1</v>
      </c>
      <c r="D13">
        <v>207</v>
      </c>
      <c r="E13">
        <v>213</v>
      </c>
      <c r="F13">
        <v>80.599999999999994</v>
      </c>
      <c r="G13">
        <v>30.6</v>
      </c>
      <c r="J13" t="s">
        <v>8</v>
      </c>
      <c r="K13">
        <v>0.157</v>
      </c>
      <c r="L13">
        <v>0.39500000000000002</v>
      </c>
      <c r="M13">
        <v>0.27400000000000002</v>
      </c>
      <c r="N13">
        <v>0.52800000000000002</v>
      </c>
      <c r="O13" s="1">
        <f>O22</f>
        <v>0.34463333333333329</v>
      </c>
      <c r="S13" s="15"/>
      <c r="T13" s="15"/>
      <c r="U13" s="16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x14ac:dyDescent="0.2">
      <c r="A14" s="14"/>
      <c r="B14" t="s">
        <v>9</v>
      </c>
      <c r="C14">
        <v>0.7</v>
      </c>
      <c r="D14">
        <v>294</v>
      </c>
      <c r="E14">
        <v>491</v>
      </c>
      <c r="F14">
        <v>138</v>
      </c>
      <c r="G14">
        <v>52.3</v>
      </c>
      <c r="J14" t="s">
        <v>9</v>
      </c>
      <c r="K14">
        <v>8.3000000000000004E-2</v>
      </c>
      <c r="L14">
        <v>0.31900000000000001</v>
      </c>
      <c r="M14">
        <v>0.161</v>
      </c>
      <c r="N14">
        <v>0.24099999999999999</v>
      </c>
      <c r="O14">
        <v>9.9199999999999997E-2</v>
      </c>
      <c r="S14" s="15"/>
      <c r="T14" s="15"/>
      <c r="U14" s="16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17" thickBot="1" x14ac:dyDescent="0.25">
      <c r="A15" s="12" t="s">
        <v>24</v>
      </c>
      <c r="B15" t="s">
        <v>10</v>
      </c>
      <c r="C15">
        <v>1.45</v>
      </c>
      <c r="D15" s="2">
        <f>D21</f>
        <v>321.39999999999998</v>
      </c>
      <c r="E15" s="2">
        <f>E21</f>
        <v>225</v>
      </c>
      <c r="F15">
        <v>69.900000000000006</v>
      </c>
      <c r="G15">
        <v>67.7</v>
      </c>
      <c r="J15" t="s">
        <v>10</v>
      </c>
      <c r="K15">
        <v>0.501</v>
      </c>
      <c r="L15">
        <v>0.26900000000000002</v>
      </c>
      <c r="M15">
        <v>8.1100000000000005E-2</v>
      </c>
      <c r="N15">
        <v>0.40500000000000003</v>
      </c>
      <c r="O15">
        <v>9.6699999999999994E-2</v>
      </c>
      <c r="S15" s="15"/>
      <c r="T15" s="15"/>
      <c r="U15" s="16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17" thickBot="1" x14ac:dyDescent="0.25">
      <c r="A16" s="14" t="s">
        <v>23</v>
      </c>
      <c r="B16" t="s">
        <v>11</v>
      </c>
      <c r="C16">
        <v>1.42</v>
      </c>
      <c r="D16">
        <v>588</v>
      </c>
      <c r="E16">
        <v>291</v>
      </c>
      <c r="F16">
        <v>215</v>
      </c>
      <c r="G16">
        <v>88.6</v>
      </c>
      <c r="J16" t="s">
        <v>11</v>
      </c>
      <c r="K16">
        <v>7.1999999999999995E-2</v>
      </c>
      <c r="L16" s="9">
        <f>L22</f>
        <v>0.47625000000000001</v>
      </c>
      <c r="M16">
        <v>0.39200000000000002</v>
      </c>
      <c r="N16">
        <v>0.18099999999999999</v>
      </c>
      <c r="O16" s="9">
        <f>O22</f>
        <v>0.34463333333333329</v>
      </c>
      <c r="S16" s="15"/>
      <c r="T16" s="15"/>
      <c r="U16" s="16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x14ac:dyDescent="0.2">
      <c r="A17" s="14"/>
      <c r="B17" t="s">
        <v>12</v>
      </c>
      <c r="C17">
        <v>0</v>
      </c>
      <c r="D17">
        <v>562</v>
      </c>
      <c r="E17">
        <v>435</v>
      </c>
      <c r="F17">
        <v>195</v>
      </c>
      <c r="G17" s="1">
        <f>G22</f>
        <v>53.7</v>
      </c>
      <c r="J17" t="s">
        <v>12</v>
      </c>
      <c r="K17">
        <v>0.82899999999999996</v>
      </c>
      <c r="L17">
        <v>0.92200000000000004</v>
      </c>
      <c r="M17">
        <v>0.65900000000000003</v>
      </c>
      <c r="N17">
        <v>0.248</v>
      </c>
      <c r="O17" s="1">
        <f>O22</f>
        <v>0.34463333333333329</v>
      </c>
      <c r="S17" s="15"/>
      <c r="T17" s="15"/>
      <c r="U17" s="16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x14ac:dyDescent="0.2">
      <c r="B18" s="3" t="s">
        <v>13</v>
      </c>
      <c r="C18" s="3">
        <f>AVERAGE(C5:C7,C9:C17)</f>
        <v>0.79949999999999999</v>
      </c>
      <c r="D18" s="3">
        <f>AVERAGE(D5:D14,D16:D17)</f>
        <v>287.90833333333336</v>
      </c>
      <c r="E18" s="3">
        <f>AVERAGE(E5:E6,E9:E14,E16:E17)</f>
        <v>251.51</v>
      </c>
      <c r="F18" s="3">
        <f>AVERAGE(F5:F6,F9:F17)</f>
        <v>116.44545454545455</v>
      </c>
      <c r="G18" s="3">
        <f>AVERAGE(G5:G6,G9:G16)</f>
        <v>36.241</v>
      </c>
      <c r="J18" s="3" t="s">
        <v>13</v>
      </c>
      <c r="K18">
        <f>AVERAGE(K5:K17)</f>
        <v>0.63190000000000002</v>
      </c>
      <c r="L18">
        <f>AVERAGE(L5:L11,L13:L15,L17)</f>
        <v>0.80436363636363628</v>
      </c>
      <c r="M18">
        <f>AVERAGE(M5:M17)</f>
        <v>0.78962307692307698</v>
      </c>
      <c r="N18">
        <f>AVERAGE(N5:N8,N10:N17)</f>
        <v>0.63275000000000003</v>
      </c>
      <c r="O18">
        <f>AVERAGE(O5:O12,O14:O15)</f>
        <v>0.83348999999999995</v>
      </c>
      <c r="S18" s="15"/>
      <c r="T18" s="15"/>
      <c r="U18" s="16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1:42" ht="17" thickBot="1" x14ac:dyDescent="0.25">
      <c r="B19" s="3"/>
      <c r="C19" s="3"/>
      <c r="D19" s="3"/>
      <c r="E19" s="3"/>
      <c r="F19" s="3"/>
      <c r="G19" s="3"/>
      <c r="J19" s="3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x14ac:dyDescent="0.2">
      <c r="B20" s="5" t="s">
        <v>16</v>
      </c>
      <c r="C20" s="5">
        <f>AVERAGE(C5:C7)</f>
        <v>0.48266666666666663</v>
      </c>
      <c r="D20" s="5">
        <f t="shared" ref="D20" si="2">AVERAGE(D5:D7)</f>
        <v>84.433333333333337</v>
      </c>
      <c r="E20" s="5">
        <f>AVERAGE(E5:E6)</f>
        <v>59.55</v>
      </c>
      <c r="F20" s="5">
        <f>AVERAGE(F5:F6)</f>
        <v>19.049999999999997</v>
      </c>
      <c r="G20" s="6">
        <f>AVERAGE(G5:G6)</f>
        <v>6.2050000000000001</v>
      </c>
      <c r="J20" s="5" t="s">
        <v>16</v>
      </c>
      <c r="K20" s="5">
        <f>AVERAGE(K5:K7)</f>
        <v>1.0323333333333333</v>
      </c>
      <c r="L20" s="5">
        <f t="shared" ref="L20:O20" si="3">AVERAGE(L5:L7)</f>
        <v>1.3526666666666667</v>
      </c>
      <c r="M20" s="5">
        <f t="shared" si="3"/>
        <v>1.4066666666666665</v>
      </c>
      <c r="N20" s="5">
        <f t="shared" si="3"/>
        <v>1.0253333333333334</v>
      </c>
      <c r="O20" s="5">
        <f t="shared" si="3"/>
        <v>1.0716666666666665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1:42" x14ac:dyDescent="0.2">
      <c r="B21" s="3" t="s">
        <v>17</v>
      </c>
      <c r="C21" s="3">
        <f>AVERAGE(C8:C11)</f>
        <v>0.49637500000000001</v>
      </c>
      <c r="D21" s="3">
        <f t="shared" ref="D21" si="4">AVERAGE(D8:D11)</f>
        <v>321.39999999999998</v>
      </c>
      <c r="E21" s="3">
        <f>AVERAGE(E9:E11)</f>
        <v>225</v>
      </c>
      <c r="F21" s="3">
        <f t="shared" ref="F21:G21" si="5">AVERAGE(F9:F11)</f>
        <v>123.76666666666667</v>
      </c>
      <c r="G21" s="3">
        <f t="shared" si="5"/>
        <v>27.166666666666668</v>
      </c>
      <c r="J21" s="3" t="s">
        <v>17</v>
      </c>
      <c r="K21" s="3">
        <f>AVERAGE(K8:K11)</f>
        <v>0.83192500000000003</v>
      </c>
      <c r="L21" s="3">
        <f t="shared" ref="L21:M21" si="6">AVERAGE(L8:L11)</f>
        <v>0.72125000000000006</v>
      </c>
      <c r="M21" s="3">
        <f t="shared" si="6"/>
        <v>0.88224999999999998</v>
      </c>
      <c r="N21" s="3">
        <f>AVERAGE(N8,N10:N11)</f>
        <v>0.72366666666666679</v>
      </c>
      <c r="O21" s="3">
        <f>AVERAGE(O8:O11)</f>
        <v>1.0215000000000001</v>
      </c>
      <c r="S21" s="15"/>
      <c r="T21" s="15"/>
      <c r="U21" s="15"/>
      <c r="V21" s="16"/>
      <c r="W21" s="16"/>
      <c r="X21" s="16"/>
      <c r="Y21" s="16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1:42" ht="17" thickBot="1" x14ac:dyDescent="0.25">
      <c r="B22" s="7" t="s">
        <v>18</v>
      </c>
      <c r="C22" s="7">
        <f>AVERAGE(C12:C17)</f>
        <v>1.1599999999999999</v>
      </c>
      <c r="D22" s="7">
        <f>AVERAGE(D12:D14,D16:D17)</f>
        <v>383.2</v>
      </c>
      <c r="E22" s="7">
        <f>AVERAGE(E12:E14,E16:E17)</f>
        <v>344.2</v>
      </c>
      <c r="F22" s="7">
        <f>AVERAGE(F12:F17)</f>
        <v>145.25</v>
      </c>
      <c r="G22" s="8">
        <f>AVERAGE(G12:G16)</f>
        <v>53.7</v>
      </c>
      <c r="J22" s="7" t="s">
        <v>18</v>
      </c>
      <c r="K22" s="7">
        <f>AVERAGE(K12:K17)</f>
        <v>0.29833333333333334</v>
      </c>
      <c r="L22" s="7">
        <f>AVERAGE(L13:L15,L17)</f>
        <v>0.47625000000000001</v>
      </c>
      <c r="M22" s="7">
        <f>AVERAGE(M12:M17)</f>
        <v>0.41934999999999995</v>
      </c>
      <c r="N22" s="7">
        <f>AVERAGE(N12:N17)</f>
        <v>0.39100000000000001</v>
      </c>
      <c r="O22" s="7">
        <f>AVERAGE(O12,O14:O15)</f>
        <v>0.34463333333333329</v>
      </c>
      <c r="S22" s="15"/>
      <c r="T22" s="16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1:42" x14ac:dyDescent="0.2"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1:42" x14ac:dyDescent="0.2"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1:42" x14ac:dyDescent="0.2">
      <c r="B25" s="3" t="s">
        <v>25</v>
      </c>
      <c r="J25" s="3" t="s">
        <v>15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:42" x14ac:dyDescent="0.2">
      <c r="B26" t="s">
        <v>0</v>
      </c>
      <c r="C26">
        <v>0</v>
      </c>
      <c r="D26">
        <v>3</v>
      </c>
      <c r="E26">
        <v>5</v>
      </c>
      <c r="F26">
        <v>9</v>
      </c>
      <c r="G26">
        <v>20</v>
      </c>
      <c r="J26" t="s">
        <v>0</v>
      </c>
      <c r="K26">
        <v>0</v>
      </c>
      <c r="L26">
        <v>2</v>
      </c>
      <c r="M26">
        <v>4</v>
      </c>
      <c r="N26">
        <v>9</v>
      </c>
      <c r="O26">
        <v>18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1:42" x14ac:dyDescent="0.2">
      <c r="B27" t="s">
        <v>1</v>
      </c>
      <c r="C27">
        <v>0</v>
      </c>
      <c r="D27">
        <v>1</v>
      </c>
      <c r="E27">
        <v>5</v>
      </c>
      <c r="F27">
        <v>12</v>
      </c>
      <c r="G27">
        <v>20</v>
      </c>
      <c r="J27" t="s">
        <v>1</v>
      </c>
      <c r="K27">
        <v>0</v>
      </c>
      <c r="L27">
        <v>4</v>
      </c>
      <c r="M27">
        <v>8</v>
      </c>
      <c r="N27">
        <v>12</v>
      </c>
      <c r="O27">
        <v>21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:42" x14ac:dyDescent="0.2">
      <c r="B28" t="s">
        <v>2</v>
      </c>
      <c r="C28">
        <v>0</v>
      </c>
      <c r="D28">
        <v>2</v>
      </c>
      <c r="E28" s="2">
        <f>E41</f>
        <v>5</v>
      </c>
      <c r="F28" s="1">
        <f t="shared" ref="F28:G28" si="7">F41</f>
        <v>10.5</v>
      </c>
      <c r="G28" s="2">
        <f t="shared" si="7"/>
        <v>20</v>
      </c>
      <c r="J28" t="s">
        <v>2</v>
      </c>
      <c r="K28">
        <v>0</v>
      </c>
      <c r="L28">
        <v>4</v>
      </c>
      <c r="M28">
        <v>9</v>
      </c>
      <c r="N28">
        <v>13</v>
      </c>
      <c r="O28">
        <v>20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1:42" ht="17" thickBot="1" x14ac:dyDescent="0.25">
      <c r="B29" t="s">
        <v>3</v>
      </c>
      <c r="C29">
        <v>0</v>
      </c>
      <c r="D29">
        <v>3</v>
      </c>
      <c r="E29" s="2">
        <f>E42</f>
        <v>5.333333333333333</v>
      </c>
      <c r="F29" s="2">
        <f t="shared" ref="F29:G29" si="8">F42</f>
        <v>12.666666666666666</v>
      </c>
      <c r="G29" s="1">
        <f t="shared" si="8"/>
        <v>20.333333333333332</v>
      </c>
      <c r="J29" t="s">
        <v>3</v>
      </c>
      <c r="K29">
        <v>0</v>
      </c>
      <c r="L29">
        <v>3</v>
      </c>
      <c r="M29">
        <v>5</v>
      </c>
      <c r="N29">
        <v>8</v>
      </c>
      <c r="O29">
        <v>20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1:42" ht="17" thickBot="1" x14ac:dyDescent="0.25">
      <c r="B30" t="s">
        <v>4</v>
      </c>
      <c r="C30">
        <v>0</v>
      </c>
      <c r="D30">
        <v>2</v>
      </c>
      <c r="E30">
        <v>5</v>
      </c>
      <c r="F30">
        <v>14</v>
      </c>
      <c r="G30">
        <v>20</v>
      </c>
      <c r="J30" t="s">
        <v>4</v>
      </c>
      <c r="K30">
        <v>0</v>
      </c>
      <c r="L30">
        <v>3</v>
      </c>
      <c r="M30">
        <v>5</v>
      </c>
      <c r="N30" s="11">
        <f>N42</f>
        <v>10.333333333333334</v>
      </c>
      <c r="O30">
        <v>20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</row>
    <row r="31" spans="1:42" x14ac:dyDescent="0.2">
      <c r="B31" t="s">
        <v>5</v>
      </c>
      <c r="C31">
        <v>0</v>
      </c>
      <c r="D31">
        <v>2</v>
      </c>
      <c r="E31">
        <v>5</v>
      </c>
      <c r="F31">
        <v>13</v>
      </c>
      <c r="G31">
        <v>20</v>
      </c>
      <c r="J31" t="s">
        <v>5</v>
      </c>
      <c r="K31">
        <v>0</v>
      </c>
      <c r="L31">
        <v>2</v>
      </c>
      <c r="M31">
        <v>5</v>
      </c>
      <c r="N31">
        <v>13</v>
      </c>
      <c r="O31">
        <v>20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</row>
    <row r="32" spans="1:42" x14ac:dyDescent="0.2">
      <c r="B32" t="s">
        <v>7</v>
      </c>
      <c r="C32">
        <v>0</v>
      </c>
      <c r="D32">
        <v>3</v>
      </c>
      <c r="E32">
        <v>6</v>
      </c>
      <c r="F32">
        <v>11</v>
      </c>
      <c r="G32">
        <v>21</v>
      </c>
      <c r="J32" t="s">
        <v>7</v>
      </c>
      <c r="K32">
        <v>0</v>
      </c>
      <c r="L32">
        <v>2</v>
      </c>
      <c r="M32">
        <v>6</v>
      </c>
      <c r="N32">
        <v>10</v>
      </c>
      <c r="O32">
        <v>20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</row>
    <row r="33" spans="1:42" x14ac:dyDescent="0.2">
      <c r="B33" t="s">
        <v>6</v>
      </c>
      <c r="C33">
        <v>0</v>
      </c>
      <c r="D33">
        <v>3</v>
      </c>
      <c r="E33">
        <v>5</v>
      </c>
      <c r="F33">
        <v>7</v>
      </c>
      <c r="G33">
        <v>20</v>
      </c>
      <c r="J33" t="s">
        <v>6</v>
      </c>
      <c r="K33">
        <v>0</v>
      </c>
      <c r="L33" s="4">
        <f>L43</f>
        <v>2</v>
      </c>
      <c r="M33">
        <v>7</v>
      </c>
      <c r="N33">
        <v>9</v>
      </c>
      <c r="O33">
        <v>21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</row>
    <row r="34" spans="1:42" x14ac:dyDescent="0.2">
      <c r="B34" t="s">
        <v>8</v>
      </c>
      <c r="C34">
        <v>0</v>
      </c>
      <c r="D34">
        <v>1</v>
      </c>
      <c r="E34">
        <v>5</v>
      </c>
      <c r="F34">
        <v>11</v>
      </c>
      <c r="G34">
        <v>20</v>
      </c>
      <c r="J34" t="s">
        <v>8</v>
      </c>
      <c r="K34">
        <v>0</v>
      </c>
      <c r="L34">
        <v>1</v>
      </c>
      <c r="M34">
        <v>4</v>
      </c>
      <c r="N34">
        <v>11</v>
      </c>
      <c r="O34" s="10">
        <f>O43</f>
        <v>20.666666666666668</v>
      </c>
    </row>
    <row r="35" spans="1:42" x14ac:dyDescent="0.2">
      <c r="B35" t="s">
        <v>9</v>
      </c>
      <c r="C35">
        <v>0</v>
      </c>
      <c r="D35">
        <v>2</v>
      </c>
      <c r="E35">
        <v>5</v>
      </c>
      <c r="F35">
        <v>12</v>
      </c>
      <c r="G35">
        <v>20</v>
      </c>
      <c r="J35" t="s">
        <v>9</v>
      </c>
      <c r="K35">
        <v>0</v>
      </c>
      <c r="L35">
        <v>3</v>
      </c>
      <c r="M35">
        <v>6</v>
      </c>
      <c r="N35">
        <v>13</v>
      </c>
      <c r="O35">
        <v>21</v>
      </c>
    </row>
    <row r="36" spans="1:42" ht="17" thickBot="1" x14ac:dyDescent="0.25">
      <c r="B36" t="s">
        <v>10</v>
      </c>
      <c r="C36">
        <v>0</v>
      </c>
      <c r="D36" s="2">
        <f>D43</f>
        <v>1.8</v>
      </c>
      <c r="E36" s="2">
        <f>E43</f>
        <v>5</v>
      </c>
      <c r="F36">
        <v>14</v>
      </c>
      <c r="G36">
        <v>20</v>
      </c>
      <c r="J36" t="s">
        <v>10</v>
      </c>
      <c r="K36">
        <v>0</v>
      </c>
      <c r="L36">
        <v>3</v>
      </c>
      <c r="M36">
        <v>5</v>
      </c>
      <c r="N36">
        <v>8</v>
      </c>
      <c r="O36">
        <v>20</v>
      </c>
    </row>
    <row r="37" spans="1:42" ht="17" thickBot="1" x14ac:dyDescent="0.25">
      <c r="B37" t="s">
        <v>11</v>
      </c>
      <c r="C37">
        <v>0</v>
      </c>
      <c r="D37">
        <v>1</v>
      </c>
      <c r="E37">
        <v>5</v>
      </c>
      <c r="F37">
        <v>11</v>
      </c>
      <c r="G37">
        <v>20</v>
      </c>
      <c r="J37" t="s">
        <v>11</v>
      </c>
      <c r="K37">
        <v>0</v>
      </c>
      <c r="L37" s="11">
        <f>L43</f>
        <v>2</v>
      </c>
      <c r="M37">
        <v>5</v>
      </c>
      <c r="N37">
        <v>11</v>
      </c>
      <c r="O37" s="11">
        <f>O43</f>
        <v>20.666666666666668</v>
      </c>
    </row>
    <row r="38" spans="1:42" x14ac:dyDescent="0.2">
      <c r="B38" t="s">
        <v>12</v>
      </c>
      <c r="C38">
        <v>0</v>
      </c>
      <c r="D38">
        <v>2</v>
      </c>
      <c r="E38">
        <v>5</v>
      </c>
      <c r="F38">
        <v>8</v>
      </c>
      <c r="G38" s="1">
        <f>G43</f>
        <v>20</v>
      </c>
      <c r="J38" t="s">
        <v>12</v>
      </c>
      <c r="K38">
        <v>0</v>
      </c>
      <c r="L38">
        <v>1</v>
      </c>
      <c r="M38">
        <v>3</v>
      </c>
      <c r="N38">
        <v>6</v>
      </c>
      <c r="O38" s="10">
        <f>O43</f>
        <v>20.666666666666668</v>
      </c>
    </row>
    <row r="39" spans="1:42" x14ac:dyDescent="0.2">
      <c r="B39" s="3" t="s">
        <v>13</v>
      </c>
      <c r="C39" s="3">
        <f>AVERAGE(C26:C38)</f>
        <v>0</v>
      </c>
      <c r="D39" s="3">
        <f>AVERAGE(D26:D35,D37:D38)</f>
        <v>2.0833333333333335</v>
      </c>
      <c r="E39" s="3">
        <f>AVERAGE(E26:E27,E30:E35,E37:E38)</f>
        <v>5.0999999999999996</v>
      </c>
      <c r="F39" s="3">
        <f>AVERAGE(F26:F27,F30:F38)</f>
        <v>11.090909090909092</v>
      </c>
      <c r="G39" s="3">
        <f>AVERAGE(G26:G27,G30:G37)</f>
        <v>20.100000000000001</v>
      </c>
      <c r="J39" s="3" t="s">
        <v>13</v>
      </c>
      <c r="K39">
        <f>AVERAGE(K26:K38)</f>
        <v>0</v>
      </c>
      <c r="L39">
        <f>AVERAGE(L26:L32,L34:L36,L38)</f>
        <v>2.5454545454545454</v>
      </c>
      <c r="M39">
        <f>AVERAGE(M26:M38)</f>
        <v>5.5384615384615383</v>
      </c>
      <c r="N39">
        <f>AVERAGE(N26:N29,N31:N38)</f>
        <v>10.25</v>
      </c>
      <c r="O39">
        <f>AVERAGE(O26:O33,O35:O36)</f>
        <v>20.100000000000001</v>
      </c>
    </row>
    <row r="40" spans="1:42" ht="17" thickBot="1" x14ac:dyDescent="0.25">
      <c r="J40" s="3"/>
    </row>
    <row r="41" spans="1:42" x14ac:dyDescent="0.2">
      <c r="B41" s="5" t="s">
        <v>16</v>
      </c>
      <c r="C41" s="5">
        <f>AVERAGE(C26:C28)</f>
        <v>0</v>
      </c>
      <c r="D41" s="5">
        <f>AVERAGE(D26:D28)</f>
        <v>2</v>
      </c>
      <c r="E41" s="5">
        <f>AVERAGE(E26:E27)</f>
        <v>5</v>
      </c>
      <c r="F41" s="5">
        <f>AVERAGE(F26:F27)</f>
        <v>10.5</v>
      </c>
      <c r="G41" s="6">
        <f>AVERAGE(G26:G27)</f>
        <v>20</v>
      </c>
      <c r="J41" s="5" t="s">
        <v>16</v>
      </c>
      <c r="K41" s="5">
        <f>AVERAGE(K26:K28)</f>
        <v>0</v>
      </c>
      <c r="L41" s="5">
        <f t="shared" ref="L41:O41" si="9">AVERAGE(L26:L28)</f>
        <v>3.3333333333333335</v>
      </c>
      <c r="M41" s="5">
        <f t="shared" si="9"/>
        <v>7</v>
      </c>
      <c r="N41" s="5">
        <f t="shared" si="9"/>
        <v>11.333333333333334</v>
      </c>
      <c r="O41" s="5">
        <f t="shared" si="9"/>
        <v>19.666666666666668</v>
      </c>
    </row>
    <row r="42" spans="1:42" x14ac:dyDescent="0.2">
      <c r="B42" s="3" t="s">
        <v>17</v>
      </c>
      <c r="C42" s="3">
        <f>AVERAGE(C29:C32)</f>
        <v>0</v>
      </c>
      <c r="D42" s="3">
        <f>AVERAGE(D29:D32)</f>
        <v>2.5</v>
      </c>
      <c r="E42" s="3">
        <f>AVERAGE(E30:E32)</f>
        <v>5.333333333333333</v>
      </c>
      <c r="F42" s="3">
        <f t="shared" ref="F42:G42" si="10">AVERAGE(F30:F32)</f>
        <v>12.666666666666666</v>
      </c>
      <c r="G42" s="3">
        <f t="shared" si="10"/>
        <v>20.333333333333332</v>
      </c>
      <c r="J42" s="3" t="s">
        <v>17</v>
      </c>
      <c r="K42" s="3">
        <f>AVERAGE(K29:K32)</f>
        <v>0</v>
      </c>
      <c r="L42" s="3">
        <f t="shared" ref="L42:M42" si="11">AVERAGE(L29:L32)</f>
        <v>2.5</v>
      </c>
      <c r="M42" s="3">
        <f t="shared" si="11"/>
        <v>5.25</v>
      </c>
      <c r="N42" s="3">
        <f>AVERAGE(N29,N31:N32)</f>
        <v>10.333333333333334</v>
      </c>
      <c r="O42" s="3">
        <f>AVERAGE(O29:O32)</f>
        <v>20</v>
      </c>
    </row>
    <row r="43" spans="1:42" ht="17" thickBot="1" x14ac:dyDescent="0.25">
      <c r="B43" s="7" t="s">
        <v>18</v>
      </c>
      <c r="C43" s="7">
        <f>AVERAGE(C33:C38)</f>
        <v>0</v>
      </c>
      <c r="D43" s="7">
        <f>AVERAGE(D33:D35,D37:D38)</f>
        <v>1.8</v>
      </c>
      <c r="E43" s="7">
        <f>AVERAGE(E33:E35,E37:E38)</f>
        <v>5</v>
      </c>
      <c r="F43" s="7">
        <f>AVERAGE(F33:F38)</f>
        <v>10.5</v>
      </c>
      <c r="G43" s="8">
        <f>AVERAGE(G33:G37)</f>
        <v>20</v>
      </c>
      <c r="J43" s="7" t="s">
        <v>18</v>
      </c>
      <c r="K43" s="7">
        <f>AVERAGE(K33:K38)</f>
        <v>0</v>
      </c>
      <c r="L43" s="7">
        <f>AVERAGE(L34:L36,L38)</f>
        <v>2</v>
      </c>
      <c r="M43" s="7">
        <f>AVERAGE(M33:M38)</f>
        <v>5</v>
      </c>
      <c r="N43" s="7">
        <f>AVERAGE(N33:N38)</f>
        <v>9.6666666666666661</v>
      </c>
      <c r="O43" s="7">
        <f>AVERAGE(O33,O35:O36)</f>
        <v>20.666666666666668</v>
      </c>
    </row>
    <row r="46" spans="1:42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42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42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spans="1:20" x14ac:dyDescent="0.2">
      <c r="A49" s="17"/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spans="1:20" x14ac:dyDescent="0.2">
      <c r="A50" s="17"/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spans="1:20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spans="1:20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spans="1:20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spans="1:20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0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0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spans="1:20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spans="1:20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spans="1:20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spans="1:20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spans="1:20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spans="1:20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spans="1:20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8"/>
      <c r="L64" s="17"/>
      <c r="M64" s="17"/>
      <c r="N64" s="17"/>
      <c r="O64" s="17"/>
      <c r="P64" s="17"/>
      <c r="Q64" s="17"/>
      <c r="R64" s="17"/>
      <c r="S64" s="17"/>
      <c r="T64" s="17"/>
    </row>
    <row r="65" spans="1:20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9"/>
      <c r="L65" s="20"/>
      <c r="M65" s="19"/>
      <c r="N65" s="20"/>
      <c r="O65" s="19"/>
      <c r="P65" s="20"/>
      <c r="Q65" s="19"/>
      <c r="R65" s="20"/>
      <c r="S65" s="17"/>
      <c r="T65" s="17"/>
    </row>
    <row r="66" spans="1:20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9"/>
      <c r="L66" s="20"/>
      <c r="M66" s="19"/>
      <c r="N66" s="20"/>
      <c r="O66" s="19"/>
      <c r="P66" s="20"/>
      <c r="Q66" s="19"/>
      <c r="R66" s="20"/>
      <c r="S66" s="17"/>
      <c r="T66" s="17"/>
    </row>
    <row r="67" spans="1:20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9"/>
      <c r="L67" s="20"/>
      <c r="M67" s="19"/>
      <c r="N67" s="20"/>
      <c r="O67" s="19"/>
      <c r="P67" s="20"/>
      <c r="Q67" s="19"/>
      <c r="R67" s="20"/>
      <c r="S67" s="17"/>
      <c r="T67" s="17"/>
    </row>
    <row r="68" spans="1:20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9"/>
      <c r="L68" s="20"/>
      <c r="M68" s="19"/>
      <c r="N68" s="20"/>
      <c r="O68" s="20"/>
      <c r="P68" s="20"/>
      <c r="Q68" s="19"/>
      <c r="R68" s="20"/>
      <c r="S68" s="17"/>
      <c r="T68" s="17"/>
    </row>
    <row r="69" spans="1:20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9"/>
      <c r="L69" s="20"/>
      <c r="M69" s="19"/>
      <c r="N69" s="20"/>
      <c r="O69" s="20"/>
      <c r="P69" s="20"/>
      <c r="Q69" s="19"/>
      <c r="R69" s="20"/>
      <c r="S69" s="17"/>
      <c r="T69" s="17"/>
    </row>
    <row r="70" spans="1:20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9"/>
      <c r="L70" s="20"/>
      <c r="M70" s="19"/>
      <c r="N70" s="20"/>
      <c r="O70" s="20"/>
      <c r="P70" s="20"/>
      <c r="Q70" s="19"/>
      <c r="R70" s="20"/>
      <c r="S70" s="17"/>
      <c r="T70" s="17"/>
    </row>
    <row r="71" spans="1:20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9"/>
      <c r="L71" s="20"/>
      <c r="M71" s="19"/>
      <c r="N71" s="20"/>
      <c r="O71" s="20"/>
      <c r="P71" s="20"/>
      <c r="Q71" s="19"/>
      <c r="R71" s="20"/>
      <c r="S71" s="17"/>
      <c r="T71" s="17"/>
    </row>
    <row r="72" spans="1:20" x14ac:dyDescent="0.2">
      <c r="A72" s="21"/>
      <c r="B72" s="17"/>
      <c r="C72" s="17"/>
      <c r="D72" s="17"/>
      <c r="E72" s="17"/>
      <c r="F72" s="17"/>
      <c r="G72" s="17"/>
      <c r="H72" s="17"/>
      <c r="I72" s="17"/>
      <c r="J72" s="17"/>
      <c r="K72" s="19"/>
      <c r="L72" s="20"/>
      <c r="M72" s="19"/>
      <c r="N72" s="20"/>
      <c r="O72" s="20"/>
      <c r="P72" s="20"/>
      <c r="Q72" s="19"/>
      <c r="R72" s="20"/>
      <c r="S72" s="17"/>
      <c r="T72" s="17"/>
    </row>
    <row r="73" spans="1:20" x14ac:dyDescent="0.2">
      <c r="A73" s="21"/>
      <c r="B73" s="17"/>
      <c r="C73" s="17"/>
      <c r="D73" s="17"/>
      <c r="E73" s="17"/>
      <c r="F73" s="17"/>
      <c r="G73" s="17"/>
      <c r="H73" s="17"/>
      <c r="I73" s="17"/>
      <c r="J73" s="17"/>
      <c r="K73" s="19"/>
      <c r="L73" s="20"/>
      <c r="M73" s="19"/>
      <c r="N73" s="20"/>
      <c r="O73" s="20"/>
      <c r="P73" s="20"/>
      <c r="Q73" s="19"/>
      <c r="R73" s="20"/>
      <c r="S73" s="17"/>
      <c r="T73" s="17"/>
    </row>
    <row r="74" spans="1:20" x14ac:dyDescent="0.2">
      <c r="A74" s="21"/>
      <c r="B74" s="17"/>
      <c r="C74" s="17"/>
      <c r="D74" s="17"/>
      <c r="E74" s="17"/>
      <c r="F74" s="17"/>
      <c r="G74" s="17"/>
      <c r="H74" s="17"/>
      <c r="I74" s="17"/>
      <c r="J74" s="17"/>
      <c r="K74" s="19"/>
      <c r="L74" s="20"/>
      <c r="M74" s="19"/>
      <c r="N74" s="20"/>
      <c r="O74" s="20"/>
      <c r="P74" s="20"/>
      <c r="Q74" s="19"/>
      <c r="R74" s="20"/>
      <c r="S74" s="17"/>
      <c r="T74" s="17"/>
    </row>
    <row r="75" spans="1:20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9"/>
      <c r="L75" s="20"/>
      <c r="M75" s="19"/>
      <c r="N75" s="20"/>
      <c r="O75" s="20"/>
      <c r="P75" s="20"/>
      <c r="Q75" s="19"/>
      <c r="R75" s="20"/>
      <c r="S75" s="17"/>
      <c r="T75" s="17"/>
    </row>
    <row r="76" spans="1:20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20"/>
      <c r="P76" s="20"/>
      <c r="Q76" s="19"/>
      <c r="R76" s="20"/>
      <c r="S76" s="17"/>
      <c r="T76" s="17"/>
    </row>
    <row r="77" spans="1:20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spans="1:20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spans="1:20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spans="1:20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1:20" x14ac:dyDescent="0.2">
      <c r="A81" s="17"/>
      <c r="B81" s="18"/>
      <c r="C81" s="18"/>
      <c r="D81" s="18"/>
      <c r="E81" s="18"/>
      <c r="F81" s="18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spans="1:20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spans="1:20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pans="1:20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pans="1:20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spans="1:20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spans="1:20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spans="1:20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spans="1:20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spans="1:20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spans="1:20" ht="16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spans="1:20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spans="1:20" x14ac:dyDescent="0.2">
      <c r="A93" s="21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spans="1:20" x14ac:dyDescent="0.2">
      <c r="A94" s="21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spans="1:20" x14ac:dyDescent="0.2">
      <c r="A95" s="21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spans="1:20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spans="1:20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spans="1:20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1:20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1:20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1:20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1:20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spans="1:20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spans="1:20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12" spans="1:20" ht="16" customHeight="1" x14ac:dyDescent="0.2"/>
  </sheetData>
  <mergeCells count="6">
    <mergeCell ref="A72:A74"/>
    <mergeCell ref="A93:A95"/>
    <mergeCell ref="A5:A7"/>
    <mergeCell ref="A8:A11"/>
    <mergeCell ref="A12:A14"/>
    <mergeCell ref="A16:A1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2018-07-31T01:55:33Z</dcterms:created>
  <dcterms:modified xsi:type="dcterms:W3CDTF">2023-04-18T01:44:41Z</dcterms:modified>
</cp:coreProperties>
</file>